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duct Optimization" sheetId="2" state="visible" r:id="rId2"/>
    <sheet name="ML Model Metrics" sheetId="3" state="visible" r:id="rId3"/>
    <sheet name="Charts &amp; Visu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55555"/>
      <sz val="10"/>
    </font>
    <font>
      <name val="Calibri"/>
      <b val="1"/>
      <color rgb="001E8449"/>
      <sz val="9"/>
    </font>
    <font>
      <name val="Calibri"/>
      <b val="1"/>
      <color rgb="001E8449"/>
      <sz val="16"/>
    </font>
    <font>
      <name val="Calibri"/>
      <b val="1"/>
      <color rgb="001F4E79"/>
      <sz val="9"/>
    </font>
    <font>
      <name val="Calibri"/>
      <b val="1"/>
      <color rgb="00C0392B"/>
      <sz val="9"/>
    </font>
    <font>
      <name val="Calibri"/>
      <b val="1"/>
      <color rgb="00C0392B"/>
      <sz val="16"/>
    </font>
    <font>
      <name val="Calibri"/>
      <b val="1"/>
      <color rgb="007D3C98"/>
      <sz val="9"/>
    </font>
    <font>
      <name val="Calibri"/>
      <b val="1"/>
      <color rgb="007D3C98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F4F6F9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Visuals'!B90</f>
            </strRef>
          </tx>
          <spPr>
            <a:ln>
              <a:prstDash val="solid"/>
            </a:ln>
          </spPr>
          <cat>
            <numRef>
              <f>'Charts &amp; Visuals'!$A$91:$A$95</f>
            </numRef>
          </cat>
          <val>
            <numRef>
              <f>'Charts &amp; Visuals'!$B$91:$B$95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Relationship Type="http://schemas.openxmlformats.org/officeDocument/2006/relationships/image" Target="/xl/media/image2.png" Id="rId3" /><Relationship Type="http://schemas.openxmlformats.org/officeDocument/2006/relationships/image" Target="/xl/media/image3.png" Id="rId4" /><Relationship Type="http://schemas.openxmlformats.org/officeDocument/2006/relationships/image" Target="/xl/media/image4.png" Id="rId5" /><Relationship Type="http://schemas.openxmlformats.org/officeDocument/2006/relationships/image" Target="/xl/media/image5.png" Id="rId6" /><Relationship Type="http://schemas.openxmlformats.org/officeDocument/2006/relationships/image" Target="/xl/media/image6.png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89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</row>
      <rowOff>0</rowOff>
    </from>
    <ext cx="457200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45720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457200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</row>
      <rowOff>0</rowOff>
    </from>
    <ext cx="4572000" cy="2095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</row>
      <rowOff>0</rowOff>
    </from>
    <ext cx="4572000" cy="2095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</row>
      <rowOff>0</rowOff>
    </from>
    <ext cx="4572000" cy="2095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9" customWidth="1" min="4" max="4"/>
    <col width="24" customWidth="1" min="5" max="5"/>
    <col width="19" customWidth="1" min="6" max="6"/>
    <col width="22" customWidth="1" min="7" max="7"/>
    <col width="18" customWidth="1" min="8" max="8"/>
  </cols>
  <sheetData>
    <row r="1" ht="35" customHeight="1">
      <c r="A1" s="1" t="inlineStr">
        <is>
          <t>📦  SUPPLY CHAIN ANALYTICS — EXECUTIVE SUMMARY</t>
        </is>
      </c>
    </row>
    <row r="2" ht="18" customHeight="1">
      <c r="A2" s="2" t="inlineStr">
        <is>
          <t>Generated: April 07, 2026  16:03  |  Data Period: 2022–2025</t>
        </is>
      </c>
    </row>
    <row r="3"/>
    <row r="4">
      <c r="A4" s="3" t="inlineStr">
        <is>
          <t>Total Revenue</t>
        </is>
      </c>
      <c r="B4" s="4" t="inlineStr">
        <is>
          <t>Total Products</t>
        </is>
      </c>
      <c r="C4" s="3" t="inlineStr">
        <is>
          <t>Avg Fill Rate</t>
        </is>
      </c>
      <c r="D4" s="5" t="inlineStr">
        <is>
          <t>Avg Stockout Rate</t>
        </is>
      </c>
      <c r="E4" s="6" t="inlineStr">
        <is>
          <t>Avg Inventory Turnover</t>
        </is>
      </c>
      <c r="F4" s="5" t="inlineStr">
        <is>
          <t>Total Supply Cost</t>
        </is>
      </c>
      <c r="G4" s="3" t="inlineStr">
        <is>
          <t>Avg On-Time Delivery</t>
        </is>
      </c>
      <c r="H4" s="3" t="inlineStr">
        <is>
          <t>Avg Gross Margin</t>
        </is>
      </c>
    </row>
    <row r="5" ht="32" customHeight="1">
      <c r="A5" s="7" t="inlineStr">
        <is>
          <t>$189,010,931</t>
        </is>
      </c>
      <c r="B5" s="8" t="inlineStr">
        <is>
          <t>20</t>
        </is>
      </c>
      <c r="C5" s="7" t="inlineStr">
        <is>
          <t>35.6%</t>
        </is>
      </c>
      <c r="D5" s="9" t="inlineStr">
        <is>
          <t>69.8%</t>
        </is>
      </c>
      <c r="E5" s="10" t="inlineStr">
        <is>
          <t>756.6x</t>
        </is>
      </c>
      <c r="F5" s="9" t="inlineStr">
        <is>
          <t>$853,675,737</t>
        </is>
      </c>
      <c r="G5" s="7" t="inlineStr">
        <is>
          <t>40.4%</t>
        </is>
      </c>
      <c r="H5" s="7" t="inlineStr">
        <is>
          <t>-419.5%</t>
        </is>
      </c>
    </row>
    <row r="6"/>
    <row r="7">
      <c r="A7" s="11" t="inlineStr">
        <is>
          <t>Category Performance Summary</t>
        </is>
      </c>
    </row>
    <row r="8">
      <c r="A8" s="12" t="inlineStr">
        <is>
          <t>Category</t>
        </is>
      </c>
      <c r="B8" s="12" t="inlineStr">
        <is>
          <t># Products</t>
        </is>
      </c>
      <c r="C8" s="12" t="inlineStr">
        <is>
          <t>Revenue ($)</t>
        </is>
      </c>
      <c r="D8" s="12" t="inlineStr">
        <is>
          <t>Fill Rate (%)</t>
        </is>
      </c>
      <c r="E8" s="12" t="inlineStr">
        <is>
          <t>Stockout Rate (%)</t>
        </is>
      </c>
      <c r="F8" s="12" t="inlineStr">
        <is>
          <t>Supply Cost ($)</t>
        </is>
      </c>
    </row>
    <row r="9">
      <c r="A9" s="13" t="inlineStr">
        <is>
          <t>Apparel</t>
        </is>
      </c>
      <c r="B9" s="13" t="n">
        <v>3</v>
      </c>
      <c r="C9" s="13" t="n">
        <v>37760980.8</v>
      </c>
      <c r="D9" s="13" t="n">
        <v>19.7</v>
      </c>
      <c r="E9" s="13" t="n">
        <v>88.16</v>
      </c>
      <c r="F9" s="13" t="n">
        <v>269163851.4</v>
      </c>
    </row>
    <row r="10">
      <c r="A10" s="14" t="inlineStr">
        <is>
          <t>Automotive</t>
        </is>
      </c>
      <c r="B10" s="14" t="n">
        <v>6</v>
      </c>
      <c r="C10" s="14" t="n">
        <v>57289605.31</v>
      </c>
      <c r="D10" s="14" t="n">
        <v>35.02</v>
      </c>
      <c r="E10" s="14" t="n">
        <v>69.36</v>
      </c>
      <c r="F10" s="14" t="n">
        <v>215049359</v>
      </c>
    </row>
    <row r="11">
      <c r="A11" s="13" t="inlineStr">
        <is>
          <t>Electronics</t>
        </is>
      </c>
      <c r="B11" s="13" t="n">
        <v>1</v>
      </c>
      <c r="C11" s="13" t="n">
        <v>12316519.02</v>
      </c>
      <c r="D11" s="13" t="n">
        <v>17.43</v>
      </c>
      <c r="E11" s="13" t="n">
        <v>91.03</v>
      </c>
      <c r="F11" s="13" t="n">
        <v>88480328.04000001</v>
      </c>
    </row>
    <row r="12">
      <c r="A12" s="14" t="inlineStr">
        <is>
          <t>Furniture</t>
        </is>
      </c>
      <c r="B12" s="14" t="n">
        <v>5</v>
      </c>
      <c r="C12" s="14" t="n">
        <v>35582115.43</v>
      </c>
      <c r="D12" s="14" t="n">
        <v>45.06</v>
      </c>
      <c r="E12" s="14" t="n">
        <v>58.81</v>
      </c>
      <c r="F12" s="14" t="n">
        <v>74111410.13</v>
      </c>
    </row>
    <row r="13">
      <c r="A13" s="13" t="inlineStr">
        <is>
          <t>Grocery</t>
        </is>
      </c>
      <c r="B13" s="13" t="n">
        <v>5</v>
      </c>
      <c r="C13" s="13" t="n">
        <v>46061710.4</v>
      </c>
      <c r="D13" s="13" t="n">
        <v>39.83</v>
      </c>
      <c r="E13" s="13" t="n">
        <v>65.90000000000001</v>
      </c>
      <c r="F13" s="13" t="n">
        <v>206870788.05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13" customWidth="1" min="4" max="4"/>
    <col width="14" customWidth="1" min="5" max="5"/>
    <col width="15" customWidth="1" min="6" max="6"/>
    <col width="15" customWidth="1" min="7" max="7"/>
    <col width="19" customWidth="1" min="8" max="8"/>
    <col width="15" customWidth="1" min="9" max="9"/>
    <col width="18" customWidth="1" min="10" max="10"/>
    <col width="13" customWidth="1" min="11" max="11"/>
    <col width="17" customWidth="1" min="12" max="12"/>
    <col width="18" customWidth="1" min="13" max="13"/>
    <col width="22" customWidth="1" min="14" max="14"/>
  </cols>
  <sheetData>
    <row r="1">
      <c r="A1" s="8" t="inlineStr">
        <is>
          <t>Product-Level Optimization — EOQ, Safety Stock &amp; KPIs</t>
        </is>
      </c>
    </row>
    <row r="2">
      <c r="A2" s="12" t="inlineStr">
        <is>
          <t>Product</t>
        </is>
      </c>
      <c r="B2" s="12" t="inlineStr">
        <is>
          <t>Category</t>
        </is>
      </c>
      <c r="C2" s="12" t="inlineStr">
        <is>
          <t>Unit Cost ($)</t>
        </is>
      </c>
      <c r="D2" s="12" t="inlineStr">
        <is>
          <t>EOQ (units)</t>
        </is>
      </c>
      <c r="E2" s="12" t="inlineStr">
        <is>
          <t>Safety Stock</t>
        </is>
      </c>
      <c r="F2" s="12" t="inlineStr">
        <is>
          <t>Reorder Point</t>
        </is>
      </c>
      <c r="G2" s="12" t="inlineStr">
        <is>
          <t>Fill Rate (%)</t>
        </is>
      </c>
      <c r="H2" s="12" t="inlineStr">
        <is>
          <t>Stockout Rate (%)</t>
        </is>
      </c>
      <c r="I2" s="12" t="inlineStr">
        <is>
          <t>Inv. Turnover</t>
        </is>
      </c>
      <c r="J2" s="12" t="inlineStr">
        <is>
          <t>On-Time Del. (%)</t>
        </is>
      </c>
      <c r="K2" s="12" t="inlineStr">
        <is>
          <t>Revenue ($)</t>
        </is>
      </c>
      <c r="L2" s="12" t="inlineStr">
        <is>
          <t>Supply Cost ($)</t>
        </is>
      </c>
      <c r="M2" s="12" t="inlineStr">
        <is>
          <t>Gross Margin (%)</t>
        </is>
      </c>
      <c r="N2" s="12" t="inlineStr">
        <is>
          <t>Supplier Reliability</t>
        </is>
      </c>
    </row>
    <row r="3">
      <c r="A3" s="13" t="inlineStr">
        <is>
          <t>P001</t>
        </is>
      </c>
      <c r="B3" s="13" t="inlineStr">
        <is>
          <t>Grocery</t>
        </is>
      </c>
      <c r="C3" s="13" t="n">
        <v>307.77</v>
      </c>
      <c r="D3" s="13" t="n">
        <v>238.83</v>
      </c>
      <c r="E3" s="13" t="n">
        <v>240.04</v>
      </c>
      <c r="F3" s="13" t="n">
        <v>3606.65</v>
      </c>
      <c r="G3" s="15" t="n">
        <v>28.97</v>
      </c>
      <c r="H3" s="15" t="n">
        <v>76.87</v>
      </c>
      <c r="I3" s="13" t="n">
        <v>825.78</v>
      </c>
      <c r="J3" s="13" t="n">
        <v>83.09</v>
      </c>
      <c r="K3" s="13" t="n">
        <v>15660568.68</v>
      </c>
      <c r="L3" s="13" t="n">
        <v>58267325.77</v>
      </c>
      <c r="M3" s="15" t="n">
        <v>-272.06</v>
      </c>
      <c r="N3" s="13" t="n">
        <v>0.73</v>
      </c>
    </row>
    <row r="4">
      <c r="A4" s="14" t="inlineStr">
        <is>
          <t>P002</t>
        </is>
      </c>
      <c r="B4" s="14" t="inlineStr">
        <is>
          <t>Automotive</t>
        </is>
      </c>
      <c r="C4" s="14" t="n">
        <v>8.5</v>
      </c>
      <c r="D4" s="14" t="n">
        <v>883.42</v>
      </c>
      <c r="E4" s="14" t="n">
        <v>127.84</v>
      </c>
      <c r="F4" s="14" t="n">
        <v>1172.88</v>
      </c>
      <c r="G4" s="15" t="n">
        <v>38.03</v>
      </c>
      <c r="H4" s="15" t="n">
        <v>64.68000000000001</v>
      </c>
      <c r="I4" s="14" t="n">
        <v>323.28</v>
      </c>
      <c r="J4" s="14" t="n">
        <v>67.76000000000001</v>
      </c>
      <c r="K4" s="14" t="n">
        <v>214574</v>
      </c>
      <c r="L4" s="14" t="n">
        <v>530173.2</v>
      </c>
      <c r="M4" s="15" t="n">
        <v>-147.08</v>
      </c>
      <c r="N4" s="14" t="n">
        <v>0.89</v>
      </c>
    </row>
    <row r="5">
      <c r="A5" s="13" t="inlineStr">
        <is>
          <t>P003</t>
        </is>
      </c>
      <c r="B5" s="13" t="inlineStr">
        <is>
          <t>Furniture</t>
        </is>
      </c>
      <c r="C5" s="13" t="n">
        <v>16.42</v>
      </c>
      <c r="D5" s="13" t="n">
        <v>652.61</v>
      </c>
      <c r="E5" s="13" t="n">
        <v>53.87</v>
      </c>
      <c r="F5" s="13" t="n">
        <v>245.46</v>
      </c>
      <c r="G5" s="15" t="n">
        <v>30.64</v>
      </c>
      <c r="H5" s="15" t="n">
        <v>72.20999999999999</v>
      </c>
      <c r="I5" s="13" t="n">
        <v>398.41</v>
      </c>
      <c r="J5" s="13" t="n">
        <v>12.73</v>
      </c>
      <c r="K5" s="13" t="n">
        <v>352077.64</v>
      </c>
      <c r="L5" s="13" t="n">
        <v>1212423.67</v>
      </c>
      <c r="M5" s="15" t="n">
        <v>-244.36</v>
      </c>
      <c r="N5" s="13" t="n">
        <v>0.73</v>
      </c>
    </row>
    <row r="6">
      <c r="A6" s="14" t="inlineStr">
        <is>
          <t>P004</t>
        </is>
      </c>
      <c r="B6" s="14" t="inlineStr">
        <is>
          <t>Automotive</t>
        </is>
      </c>
      <c r="C6" s="14" t="n">
        <v>264.76</v>
      </c>
      <c r="D6" s="14" t="n">
        <v>271.76</v>
      </c>
      <c r="E6" s="14" t="n">
        <v>205.88</v>
      </c>
      <c r="F6" s="14" t="n">
        <v>3152.25</v>
      </c>
      <c r="G6" s="15" t="n">
        <v>33.29</v>
      </c>
      <c r="H6" s="15" t="n">
        <v>73.17</v>
      </c>
      <c r="I6" s="14" t="n">
        <v>794.54</v>
      </c>
      <c r="J6" s="14" t="n">
        <v>65.16</v>
      </c>
      <c r="K6" s="14" t="n">
        <v>17245936.88</v>
      </c>
      <c r="L6" s="14" t="n">
        <v>52804119.68</v>
      </c>
      <c r="M6" s="15" t="n">
        <v>-206.18</v>
      </c>
      <c r="N6" s="14" t="n">
        <v>0.83</v>
      </c>
    </row>
    <row r="7">
      <c r="A7" s="13" t="inlineStr">
        <is>
          <t>P005</t>
        </is>
      </c>
      <c r="B7" s="13" t="inlineStr">
        <is>
          <t>Automotive</t>
        </is>
      </c>
      <c r="C7" s="13" t="n">
        <v>202.93</v>
      </c>
      <c r="D7" s="13" t="n">
        <v>211.52</v>
      </c>
      <c r="E7" s="13" t="n">
        <v>132.38</v>
      </c>
      <c r="F7" s="13" t="n">
        <v>1189.51</v>
      </c>
      <c r="G7" s="15" t="n">
        <v>10.41</v>
      </c>
      <c r="H7" s="15" t="n">
        <v>92.13</v>
      </c>
      <c r="I7" s="13" t="n">
        <v>1007.57</v>
      </c>
      <c r="J7" s="13" t="n">
        <v>50.58</v>
      </c>
      <c r="K7" s="13" t="n">
        <v>1918703.15</v>
      </c>
      <c r="L7" s="13" t="n">
        <v>25082400.04</v>
      </c>
      <c r="M7" s="15" t="n">
        <v>-1207.26</v>
      </c>
      <c r="N7" s="13" t="n">
        <v>0.83</v>
      </c>
    </row>
    <row r="8">
      <c r="A8" s="14" t="inlineStr">
        <is>
          <t>P006</t>
        </is>
      </c>
      <c r="B8" s="14" t="inlineStr">
        <is>
          <t>Apparel</t>
        </is>
      </c>
      <c r="C8" s="14" t="n">
        <v>28.1</v>
      </c>
      <c r="D8" s="14" t="n">
        <v>828.3</v>
      </c>
      <c r="E8" s="14" t="n">
        <v>121.55</v>
      </c>
      <c r="F8" s="14" t="n">
        <v>1309.98</v>
      </c>
      <c r="G8" s="15" t="n">
        <v>29.98</v>
      </c>
      <c r="H8" s="15" t="n">
        <v>76.25</v>
      </c>
      <c r="I8" s="14" t="n">
        <v>846.96</v>
      </c>
      <c r="J8" s="14" t="n">
        <v>25.46</v>
      </c>
      <c r="K8" s="14" t="n">
        <v>1625472.6</v>
      </c>
      <c r="L8" s="14" t="n">
        <v>5776375.29</v>
      </c>
      <c r="M8" s="15" t="n">
        <v>-255.37</v>
      </c>
      <c r="N8" s="14" t="n">
        <v>0.95</v>
      </c>
    </row>
    <row r="9">
      <c r="A9" s="13" t="inlineStr">
        <is>
          <t>P007</t>
        </is>
      </c>
      <c r="B9" s="13" t="inlineStr">
        <is>
          <t>Furniture</t>
        </is>
      </c>
      <c r="C9" s="13" t="n">
        <v>487.01</v>
      </c>
      <c r="D9" s="13" t="n">
        <v>102.22</v>
      </c>
      <c r="E9" s="13" t="n">
        <v>93.98999999999999</v>
      </c>
      <c r="F9" s="13" t="n">
        <v>581.9400000000001</v>
      </c>
      <c r="G9" s="15" t="n">
        <v>39.16</v>
      </c>
      <c r="H9" s="15" t="n">
        <v>62.35</v>
      </c>
      <c r="I9" s="13" t="n">
        <v>233.59</v>
      </c>
      <c r="J9" s="13" t="n">
        <v>42.09</v>
      </c>
      <c r="K9" s="13" t="n">
        <v>9712440.43</v>
      </c>
      <c r="L9" s="13" t="n">
        <v>22925482.83</v>
      </c>
      <c r="M9" s="15" t="n">
        <v>-136.04</v>
      </c>
      <c r="N9" s="13" t="n">
        <v>0.97</v>
      </c>
    </row>
    <row r="10">
      <c r="A10" s="14" t="inlineStr">
        <is>
          <t>P008</t>
        </is>
      </c>
      <c r="B10" s="14" t="inlineStr">
        <is>
          <t>Furniture</t>
        </is>
      </c>
      <c r="C10" s="14" t="n">
        <v>120.22</v>
      </c>
      <c r="D10" s="14" t="n">
        <v>315.66</v>
      </c>
      <c r="E10" s="14" t="n">
        <v>103.31</v>
      </c>
      <c r="F10" s="14" t="n">
        <v>923.79</v>
      </c>
      <c r="G10" s="15" t="n">
        <v>59.2</v>
      </c>
      <c r="H10" s="15" t="n">
        <v>45.24</v>
      </c>
      <c r="I10" s="14" t="n">
        <v>352.67</v>
      </c>
      <c r="J10" s="14" t="n">
        <v>29.43</v>
      </c>
      <c r="K10" s="14" t="n">
        <v>8531772.960000001</v>
      </c>
      <c r="L10" s="14" t="n">
        <v>9053683.9</v>
      </c>
      <c r="M10" s="15" t="n">
        <v>-6.12</v>
      </c>
      <c r="N10" s="14" t="n">
        <v>0.97</v>
      </c>
    </row>
    <row r="11">
      <c r="A11" s="13" t="inlineStr">
        <is>
          <t>P009</t>
        </is>
      </c>
      <c r="B11" s="13" t="inlineStr">
        <is>
          <t>Furniture</t>
        </is>
      </c>
      <c r="C11" s="13" t="n">
        <v>49.85</v>
      </c>
      <c r="D11" s="13" t="n">
        <v>682.9299999999999</v>
      </c>
      <c r="E11" s="13" t="n">
        <v>203.73</v>
      </c>
      <c r="F11" s="13" t="n">
        <v>2910.89</v>
      </c>
      <c r="G11" s="15" t="n">
        <v>68.22</v>
      </c>
      <c r="H11" s="15" t="n">
        <v>39.84</v>
      </c>
      <c r="I11" s="13" t="n">
        <v>542.13</v>
      </c>
      <c r="J11" s="13" t="n">
        <v>50.51</v>
      </c>
      <c r="K11" s="13" t="n">
        <v>7911992.6</v>
      </c>
      <c r="L11" s="13" t="n">
        <v>5733524.93</v>
      </c>
      <c r="M11" s="15" t="n">
        <v>27.53</v>
      </c>
      <c r="N11" s="13" t="n">
        <v>0.89</v>
      </c>
    </row>
    <row r="12">
      <c r="A12" s="14" t="inlineStr">
        <is>
          <t>P010</t>
        </is>
      </c>
      <c r="B12" s="14" t="inlineStr">
        <is>
          <t>Automotive</t>
        </is>
      </c>
      <c r="C12" s="14" t="n">
        <v>311.1</v>
      </c>
      <c r="D12" s="14" t="n">
        <v>214.91</v>
      </c>
      <c r="E12" s="14" t="n">
        <v>77.7</v>
      </c>
      <c r="F12" s="14" t="n">
        <v>569.77</v>
      </c>
      <c r="G12" s="15" t="n">
        <v>16.4</v>
      </c>
      <c r="H12" s="15" t="n">
        <v>88.23</v>
      </c>
      <c r="I12" s="14" t="n">
        <v>1036.05</v>
      </c>
      <c r="J12" s="14" t="n">
        <v>14.1</v>
      </c>
      <c r="K12" s="14" t="n">
        <v>7336671.3</v>
      </c>
      <c r="L12" s="14" t="n">
        <v>56581981.74</v>
      </c>
      <c r="M12" s="15" t="n">
        <v>-671.22</v>
      </c>
      <c r="N12" s="14" t="n">
        <v>0.8100000000000001</v>
      </c>
    </row>
    <row r="13">
      <c r="A13" s="13" t="inlineStr">
        <is>
          <t>P011</t>
        </is>
      </c>
      <c r="B13" s="13" t="inlineStr">
        <is>
          <t>Grocery</t>
        </is>
      </c>
      <c r="C13" s="13" t="n">
        <v>194.32</v>
      </c>
      <c r="D13" s="13" t="n">
        <v>387.9</v>
      </c>
      <c r="E13" s="13" t="n">
        <v>230.56</v>
      </c>
      <c r="F13" s="13" t="n">
        <v>3434.79</v>
      </c>
      <c r="G13" s="15" t="n">
        <v>24.87</v>
      </c>
      <c r="H13" s="15" t="n">
        <v>84.8</v>
      </c>
      <c r="I13" s="13" t="n">
        <v>1170.43</v>
      </c>
      <c r="J13" s="13" t="n">
        <v>46.75</v>
      </c>
      <c r="K13" s="13" t="n">
        <v>14140666.4</v>
      </c>
      <c r="L13" s="13" t="n">
        <v>64965094.89</v>
      </c>
      <c r="M13" s="15" t="n">
        <v>-359.42</v>
      </c>
      <c r="N13" s="13" t="n">
        <v>0.83</v>
      </c>
    </row>
    <row r="14">
      <c r="A14" s="14" t="inlineStr">
        <is>
          <t>P012</t>
        </is>
      </c>
      <c r="B14" s="14" t="inlineStr">
        <is>
          <t>Furniture</t>
        </is>
      </c>
      <c r="C14" s="14" t="n">
        <v>491.7</v>
      </c>
      <c r="D14" s="14" t="n">
        <v>115.55</v>
      </c>
      <c r="E14" s="14" t="n">
        <v>116.42</v>
      </c>
      <c r="F14" s="14" t="n">
        <v>970.84</v>
      </c>
      <c r="G14" s="15" t="n">
        <v>28.09</v>
      </c>
      <c r="H14" s="15" t="n">
        <v>74.40000000000001</v>
      </c>
      <c r="I14" s="14" t="n">
        <v>399.61</v>
      </c>
      <c r="J14" s="14" t="n">
        <v>57.56</v>
      </c>
      <c r="K14" s="14" t="n">
        <v>9073831.800000001</v>
      </c>
      <c r="L14" s="14" t="n">
        <v>35186294.8</v>
      </c>
      <c r="M14" s="15" t="n">
        <v>-287.78</v>
      </c>
      <c r="N14" s="14" t="n">
        <v>0.73</v>
      </c>
    </row>
    <row r="15">
      <c r="A15" s="13" t="inlineStr">
        <is>
          <t>P013</t>
        </is>
      </c>
      <c r="B15" s="13" t="inlineStr">
        <is>
          <t>Automotive</t>
        </is>
      </c>
      <c r="C15" s="13" t="n">
        <v>236.05</v>
      </c>
      <c r="D15" s="13" t="n">
        <v>329.78</v>
      </c>
      <c r="E15" s="13" t="n">
        <v>120.64</v>
      </c>
      <c r="F15" s="13" t="n">
        <v>1175.67</v>
      </c>
      <c r="G15" s="15" t="n">
        <v>14.29</v>
      </c>
      <c r="H15" s="15" t="n">
        <v>93.77</v>
      </c>
      <c r="I15" s="13" t="n">
        <v>1344.62</v>
      </c>
      <c r="J15" s="13" t="n">
        <v>17.66</v>
      </c>
      <c r="K15" s="13" t="n">
        <v>8667283.9</v>
      </c>
      <c r="L15" s="13" t="n">
        <v>78924846.92</v>
      </c>
      <c r="M15" s="15" t="n">
        <v>-810.61</v>
      </c>
      <c r="N15" s="13" t="n">
        <v>0.8100000000000001</v>
      </c>
    </row>
    <row r="16">
      <c r="A16" s="14" t="inlineStr">
        <is>
          <t>P014</t>
        </is>
      </c>
      <c r="B16" s="14" t="inlineStr">
        <is>
          <t>Apparel</t>
        </is>
      </c>
      <c r="C16" s="14" t="n">
        <v>430.67</v>
      </c>
      <c r="D16" s="14" t="n">
        <v>274.41</v>
      </c>
      <c r="E16" s="14" t="n">
        <v>279.67</v>
      </c>
      <c r="F16" s="14" t="n">
        <v>4721.96</v>
      </c>
      <c r="G16" s="15" t="n">
        <v>22.58</v>
      </c>
      <c r="H16" s="15" t="n">
        <v>88.36</v>
      </c>
      <c r="I16" s="14" t="n">
        <v>1258.51</v>
      </c>
      <c r="J16" s="14" t="n">
        <v>57.43</v>
      </c>
      <c r="K16" s="14" t="n">
        <v>31550884.2</v>
      </c>
      <c r="L16" s="14" t="n">
        <v>164248282.64</v>
      </c>
      <c r="M16" s="15" t="n">
        <v>-420.58</v>
      </c>
      <c r="N16" s="14" t="n">
        <v>0.89</v>
      </c>
    </row>
    <row r="17">
      <c r="A17" s="13" t="inlineStr">
        <is>
          <t>P015</t>
        </is>
      </c>
      <c r="B17" s="13" t="inlineStr">
        <is>
          <t>Grocery</t>
        </is>
      </c>
      <c r="C17" s="13" t="n">
        <v>341.75</v>
      </c>
      <c r="D17" s="13" t="n">
        <v>134.96</v>
      </c>
      <c r="E17" s="13" t="n">
        <v>92.39</v>
      </c>
      <c r="F17" s="13" t="n">
        <v>518.75</v>
      </c>
      <c r="G17" s="15" t="n">
        <v>36.13</v>
      </c>
      <c r="H17" s="15" t="n">
        <v>65.91</v>
      </c>
      <c r="I17" s="13" t="n">
        <v>308.67</v>
      </c>
      <c r="J17" s="13" t="n">
        <v>28.54</v>
      </c>
      <c r="K17" s="13" t="n">
        <v>7691767.25</v>
      </c>
      <c r="L17" s="13" t="n">
        <v>20513306.71</v>
      </c>
      <c r="M17" s="15" t="n">
        <v>-166.69</v>
      </c>
      <c r="N17" s="13" t="n">
        <v>0.97</v>
      </c>
    </row>
    <row r="18">
      <c r="A18" s="14" t="inlineStr">
        <is>
          <t>P016</t>
        </is>
      </c>
      <c r="B18" s="14" t="inlineStr">
        <is>
          <t>Apparel</t>
        </is>
      </c>
      <c r="C18" s="14" t="n">
        <v>228</v>
      </c>
      <c r="D18" s="14" t="n">
        <v>366.95</v>
      </c>
      <c r="E18" s="14" t="n">
        <v>139.39</v>
      </c>
      <c r="F18" s="14" t="n">
        <v>1401.03</v>
      </c>
      <c r="G18" s="15" t="n">
        <v>6.55</v>
      </c>
      <c r="H18" s="15" t="n">
        <v>99.86</v>
      </c>
      <c r="I18" s="14" t="n">
        <v>1460.13</v>
      </c>
      <c r="J18" s="14" t="n">
        <v>16.97</v>
      </c>
      <c r="K18" s="14" t="n">
        <v>4584624</v>
      </c>
      <c r="L18" s="14" t="n">
        <v>99139193.47</v>
      </c>
      <c r="M18" s="15" t="n">
        <v>-2062.43</v>
      </c>
      <c r="N18" s="14" t="n">
        <v>0.97</v>
      </c>
    </row>
    <row r="19">
      <c r="A19" s="13" t="inlineStr">
        <is>
          <t>P017</t>
        </is>
      </c>
      <c r="B19" s="13" t="inlineStr">
        <is>
          <t>Grocery</t>
        </is>
      </c>
      <c r="C19" s="13" t="n">
        <v>11.57</v>
      </c>
      <c r="D19" s="13" t="n">
        <v>875.27</v>
      </c>
      <c r="E19" s="13" t="n">
        <v>65.31</v>
      </c>
      <c r="F19" s="13" t="n">
        <v>308.15</v>
      </c>
      <c r="G19" s="16" t="n">
        <v>93.73</v>
      </c>
      <c r="H19" s="16" t="n">
        <v>9.65</v>
      </c>
      <c r="I19" s="13" t="n">
        <v>177.39</v>
      </c>
      <c r="J19" s="13" t="n">
        <v>11.77</v>
      </c>
      <c r="K19" s="13" t="n">
        <v>961871.95</v>
      </c>
      <c r="L19" s="13" t="n">
        <v>110278.79</v>
      </c>
      <c r="M19" s="17" t="n">
        <v>88.53</v>
      </c>
      <c r="N19" s="13" t="n">
        <v>0.73</v>
      </c>
    </row>
    <row r="20">
      <c r="A20" s="14" t="inlineStr">
        <is>
          <t>P018</t>
        </is>
      </c>
      <c r="B20" s="14" t="inlineStr">
        <is>
          <t>Automotive</t>
        </is>
      </c>
      <c r="C20" s="14" t="n">
        <v>471.39</v>
      </c>
      <c r="D20" s="14" t="n">
        <v>100.4</v>
      </c>
      <c r="E20" s="14" t="n">
        <v>73.25</v>
      </c>
      <c r="F20" s="14" t="n">
        <v>333.62</v>
      </c>
      <c r="G20" s="17" t="n">
        <v>97.73</v>
      </c>
      <c r="H20" s="17" t="n">
        <v>4.18</v>
      </c>
      <c r="I20" s="14" t="n">
        <v>95.06999999999999</v>
      </c>
      <c r="J20" s="14" t="n">
        <v>21.42</v>
      </c>
      <c r="K20" s="14" t="n">
        <v>21906436.08</v>
      </c>
      <c r="L20" s="14" t="n">
        <v>1125837.42</v>
      </c>
      <c r="M20" s="17" t="n">
        <v>94.86</v>
      </c>
      <c r="N20" s="14" t="n">
        <v>0.73</v>
      </c>
    </row>
    <row r="21">
      <c r="A21" s="13" t="inlineStr">
        <is>
          <t>P019</t>
        </is>
      </c>
      <c r="B21" s="13" t="inlineStr">
        <is>
          <t>Electronics</t>
        </is>
      </c>
      <c r="C21" s="13" t="n">
        <v>283.83</v>
      </c>
      <c r="D21" s="13" t="n">
        <v>296.03</v>
      </c>
      <c r="E21" s="13" t="n">
        <v>288.44</v>
      </c>
      <c r="F21" s="13" t="n">
        <v>4377.05</v>
      </c>
      <c r="G21" s="15" t="n">
        <v>17.43</v>
      </c>
      <c r="H21" s="15" t="n">
        <v>91.03</v>
      </c>
      <c r="I21" s="13" t="n">
        <v>1261.16</v>
      </c>
      <c r="J21" s="13" t="n">
        <v>70.56999999999999</v>
      </c>
      <c r="K21" s="13" t="n">
        <v>12316519.02</v>
      </c>
      <c r="L21" s="13" t="n">
        <v>88480328.04000001</v>
      </c>
      <c r="M21" s="15" t="n">
        <v>-618.39</v>
      </c>
      <c r="N21" s="13" t="n">
        <v>0.97</v>
      </c>
    </row>
    <row r="22">
      <c r="A22" s="14" t="inlineStr">
        <is>
          <t>P020</t>
        </is>
      </c>
      <c r="B22" s="14" t="inlineStr">
        <is>
          <t>Grocery</t>
        </is>
      </c>
      <c r="C22" s="14" t="n">
        <v>195.78</v>
      </c>
      <c r="D22" s="14" t="n">
        <v>358.05</v>
      </c>
      <c r="E22" s="14" t="n">
        <v>221.43</v>
      </c>
      <c r="F22" s="14" t="n">
        <v>2284.41</v>
      </c>
      <c r="G22" s="15" t="n">
        <v>15.47</v>
      </c>
      <c r="H22" s="15" t="n">
        <v>92.27</v>
      </c>
      <c r="I22" s="14" t="n">
        <v>1295.04</v>
      </c>
      <c r="J22" s="14" t="n">
        <v>37.85</v>
      </c>
      <c r="K22" s="14" t="n">
        <v>7606836.12</v>
      </c>
      <c r="L22" s="14" t="n">
        <v>63014781.89</v>
      </c>
      <c r="M22" s="15" t="n">
        <v>-728.4</v>
      </c>
      <c r="N22" s="14" t="n">
        <v>0.95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0" customWidth="1" min="4" max="4"/>
    <col width="10" customWidth="1" min="5" max="5"/>
    <col width="30" customWidth="1" min="6" max="6"/>
  </cols>
  <sheetData>
    <row r="1">
      <c r="A1" s="8" t="inlineStr">
        <is>
          <t>Machine Learning Model Performance</t>
        </is>
      </c>
    </row>
    <row r="2">
      <c r="A2" s="12" t="inlineStr">
        <is>
          <t>Model</t>
        </is>
      </c>
      <c r="B2" s="12" t="inlineStr">
        <is>
          <t>MAE</t>
        </is>
      </c>
      <c r="C2" s="12" t="inlineStr">
        <is>
          <t>RMSE</t>
        </is>
      </c>
      <c r="D2" s="12" t="inlineStr">
        <is>
          <t>MAPE (%)</t>
        </is>
      </c>
      <c r="E2" s="12" t="inlineStr">
        <is>
          <t>R² Score</t>
        </is>
      </c>
      <c r="F2" s="12" t="inlineStr">
        <is>
          <t>Interpretation</t>
        </is>
      </c>
    </row>
    <row r="3">
      <c r="A3" s="13" t="inlineStr">
        <is>
          <t>Random Forest</t>
        </is>
      </c>
      <c r="B3" s="13" t="n">
        <v>14.58</v>
      </c>
      <c r="C3" s="13" t="n">
        <v>22.3</v>
      </c>
      <c r="D3" s="13" t="n">
        <v>985931895257217</v>
      </c>
      <c r="E3" s="13" t="n">
        <v>0.8971</v>
      </c>
      <c r="F3" s="13" t="inlineStr">
        <is>
          <t>Ensemble of decision trees; robust to noise</t>
        </is>
      </c>
    </row>
    <row r="4">
      <c r="A4" s="14" t="inlineStr">
        <is>
          <t>Xgboost</t>
        </is>
      </c>
      <c r="B4" s="14" t="n">
        <v>14.16</v>
      </c>
      <c r="C4" s="14" t="n">
        <v>21.26</v>
      </c>
      <c r="D4" s="14" t="n">
        <v>2097335421708247</v>
      </c>
      <c r="E4" s="14" t="n">
        <v>0.9064</v>
      </c>
      <c r="F4" s="14" t="inlineStr">
        <is>
          <t>Gradient boosted trees; high accuracy &amp; speed</t>
        </is>
      </c>
    </row>
    <row r="7">
      <c r="A7" s="11" t="inlineStr">
        <is>
          <t>Metric Definitions</t>
        </is>
      </c>
    </row>
    <row r="8">
      <c r="A8" s="11" t="inlineStr">
        <is>
          <t>MAE</t>
        </is>
      </c>
      <c r="B8" s="18" t="inlineStr">
        <is>
          <t>Mean Absolute Error — average magnitude of prediction errors (units)</t>
        </is>
      </c>
    </row>
    <row r="9">
      <c r="A9" s="11" t="inlineStr">
        <is>
          <t>RMSE</t>
        </is>
      </c>
      <c r="B9" s="18" t="inlineStr">
        <is>
          <t>Root Mean Square Error — penalises large errors more heavily</t>
        </is>
      </c>
    </row>
    <row r="10">
      <c r="A10" s="11" t="inlineStr">
        <is>
          <t>MAPE (%)</t>
        </is>
      </c>
      <c r="B10" s="18" t="inlineStr">
        <is>
          <t>Mean Absolute Percentage Error — relative forecast accuracy</t>
        </is>
      </c>
    </row>
    <row r="11">
      <c r="A11" s="11" t="inlineStr">
        <is>
          <t>R² Score</t>
        </is>
      </c>
      <c r="B11" s="18" t="inlineStr">
        <is>
          <t>Coefficient of determination — 1.0 = perfect fit</t>
        </is>
      </c>
    </row>
  </sheetData>
  <mergeCells count="5">
    <mergeCell ref="B10:F10"/>
    <mergeCell ref="B11:F11"/>
    <mergeCell ref="A1:F1"/>
    <mergeCell ref="B8:F8"/>
    <mergeCell ref="B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5"/>
  <sheetViews>
    <sheetView showGridLines="0" workbookViewId="0">
      <selection activeCell="A1" sqref="A1"/>
    </sheetView>
  </sheetViews>
  <sheetFormatPr baseColWidth="8" defaultRowHeight="15"/>
  <sheetData>
    <row r="1">
      <c r="A1" s="8" t="inlineStr">
        <is>
          <t>Supply Chain Analytics — Key Visualisations</t>
        </is>
      </c>
    </row>
    <row r="90">
      <c r="A90" t="inlineStr">
        <is>
          <t>Category</t>
        </is>
      </c>
      <c r="B90" t="inlineStr">
        <is>
          <t>Revenue</t>
        </is>
      </c>
    </row>
    <row r="91">
      <c r="A91" t="inlineStr">
        <is>
          <t>Apparel</t>
        </is>
      </c>
      <c r="B91" t="n">
        <v>37760981</v>
      </c>
    </row>
    <row r="92">
      <c r="A92" t="inlineStr">
        <is>
          <t>Automotive</t>
        </is>
      </c>
      <c r="B92" t="n">
        <v>57289605</v>
      </c>
    </row>
    <row r="93">
      <c r="A93" t="inlineStr">
        <is>
          <t>Electronics</t>
        </is>
      </c>
      <c r="B93" t="n">
        <v>12316519</v>
      </c>
    </row>
    <row r="94">
      <c r="A94" t="inlineStr">
        <is>
          <t>Furniture</t>
        </is>
      </c>
      <c r="B94" t="n">
        <v>35582115</v>
      </c>
    </row>
    <row r="95">
      <c r="A95" t="inlineStr">
        <is>
          <t>Grocery</t>
        </is>
      </c>
      <c r="B95" t="n">
        <v>46061710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2026-04-07T20:03:26Z</dcterms:created>
  <dcterms:modified xsi:type="dcterms:W3CDTF">2026-04-07T20:03:26Z</dcterms:modified>
</cp:coreProperties>
</file>